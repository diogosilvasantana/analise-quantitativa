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tos\ai-trader-pro\"/>
    </mc:Choice>
  </mc:AlternateContent>
  <xr:revisionPtr revIDLastSave="0" documentId="13_ncr:1_{45645731-2BE7-4E7B-9575-E5430A340302}" xr6:coauthVersionLast="47" xr6:coauthVersionMax="47" xr10:uidLastSave="{00000000-0000-0000-0000-000000000000}"/>
  <bookViews>
    <workbookView xWindow="38280" yWindow="-120" windowWidth="38640" windowHeight="15720" xr2:uid="{C5966F4B-4971-4C92-8CB4-7106493599B3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</calcChain>
</file>

<file path=xl/sharedStrings.xml><?xml version="1.0" encoding="utf-8"?>
<sst xmlns="http://schemas.openxmlformats.org/spreadsheetml/2006/main" count="34" uniqueCount="34">
  <si>
    <t>COMPRA AUTORIZADA</t>
  </si>
  <si>
    <t>Asset</t>
  </si>
  <si>
    <t>Último</t>
  </si>
  <si>
    <t>Máximo</t>
  </si>
  <si>
    <t>Mínimo</t>
  </si>
  <si>
    <t>Variação</t>
  </si>
  <si>
    <t>Quantidade</t>
  </si>
  <si>
    <t>Ajuste</t>
  </si>
  <si>
    <t>Bear Power</t>
  </si>
  <si>
    <t>Bull Power</t>
  </si>
  <si>
    <t>HiLo Activator</t>
  </si>
  <si>
    <t>IFR (RSI)</t>
  </si>
  <si>
    <t>MACD Histograma</t>
  </si>
  <si>
    <t>Prior Cote Ajuste</t>
  </si>
  <si>
    <t>TR - Volume de Agressão - Saldo</t>
  </si>
  <si>
    <t>True Range</t>
  </si>
  <si>
    <t>VWAP</t>
  </si>
  <si>
    <t>WINFUT</t>
  </si>
  <si>
    <t>WDOFUT</t>
  </si>
  <si>
    <t>DIIFUT</t>
  </si>
  <si>
    <t>VALE3</t>
  </si>
  <si>
    <t>PETR4</t>
  </si>
  <si>
    <t>ITUB4</t>
  </si>
  <si>
    <t>ELET3</t>
  </si>
  <si>
    <t>SBSP3</t>
  </si>
  <si>
    <t>BBDC4</t>
  </si>
  <si>
    <t>B3SA3</t>
  </si>
  <si>
    <t>BBAS3</t>
  </si>
  <si>
    <t>RENT3</t>
  </si>
  <si>
    <t>LREN3</t>
  </si>
  <si>
    <t>WEGE3</t>
  </si>
  <si>
    <t>WSPFUT</t>
  </si>
  <si>
    <t>DI1F29</t>
  </si>
  <si>
    <t>WINZ25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</si>
</sst>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 t="e">
        <v>#N/A</v>
        <stp/>
        <stp>B3SA3_B_0</stp>
        <stp>17</stp>
        <tr r="O11" s="1"/>
      </tp>
      <tp t="e">
        <v>#N/A</v>
        <stp/>
        <stp>B3SA3_B_0</stp>
        <stp>32</stp>
        <tr r="H11" s="1"/>
      </tp>
      <tp t="e">
        <v>#N/A</v>
        <stp/>
        <stp>B3SA3_B_0</stp>
        <stp>31</stp>
        <tr r="I11" s="1"/>
      </tp>
      <tp t="e">
        <v>#N/A</v>
        <stp/>
        <stp>B3SA3_B_0</stp>
        <stp>48</stp>
        <tr r="J11" s="1"/>
      </tp>
      <tp t="e">
        <v>#N/A</v>
        <stp/>
        <stp>B3SA3_B_0</stp>
        <stp>67</stp>
        <tr r="P11" s="1"/>
      </tp>
      <tp t="e">
        <v>#N/A</v>
        <stp/>
        <stp>DI1F29_F_0</stp>
        <stp>31</stp>
        <tr r="I17" s="1"/>
      </tp>
      <tp t="e">
        <v>#N/A</v>
        <stp/>
        <stp>DI1F29_F_0</stp>
        <stp>32</stp>
        <tr r="H17" s="1"/>
      </tp>
      <tp t="e">
        <v>#N/A</v>
        <stp/>
        <stp>DI1F29_F_0</stp>
        <stp>17</stp>
        <tr r="O17" s="1"/>
      </tp>
      <tp t="e">
        <v>#N/A</v>
        <stp/>
        <stp>DI1F29_F_0</stp>
        <stp>67</stp>
        <tr r="P17" s="1"/>
      </tp>
      <tp t="e">
        <v>#N/A</v>
        <stp/>
        <stp>DI1F29_F_0</stp>
        <stp>48</stp>
        <tr r="J17" s="1"/>
      </tp>
      <tp t="e">
        <v>#N/A</v>
        <stp/>
        <stp>WEGE3_B_0</stp>
        <stp>MAX</stp>
        <tr r="C15" s="1"/>
      </tp>
      <tp t="e">
        <v>#N/A</v>
        <stp/>
        <stp>WEGE3_B_0</stp>
        <stp>MIN</stp>
        <tr r="D15" s="1"/>
      </tp>
      <tp t="e">
        <v>#N/A</v>
        <stp/>
        <stp>WINZ25_F_0</stp>
        <stp>VAR</stp>
        <tr r="E18" s="1"/>
      </tp>
      <tp t="e">
        <v>#N/A</v>
        <stp/>
        <stp>WINZ25_F_0</stp>
        <stp>6</stp>
        <tr r="L18" s="1"/>
      </tp>
      <tp t="e">
        <v>#N/A</v>
        <stp/>
        <stp>WINZ25_F_0</stp>
        <stp>1</stp>
        <tr r="K18" s="1"/>
      </tp>
      <tp t="e">
        <v>#N/A</v>
        <stp/>
        <stp>ELET3_B_0</stp>
        <stp>MAX</stp>
        <tr r="C8" s="1"/>
      </tp>
      <tp t="e">
        <v>#N/A</v>
        <stp/>
        <stp>ELET3_B_0</stp>
        <stp>MIN</stp>
        <tr r="D8" s="1"/>
      </tp>
      <tp t="e">
        <v>#N/A</v>
        <stp/>
        <stp>LREN3_B_0</stp>
        <stp>MIN</stp>
        <tr r="D14" s="1"/>
      </tp>
      <tp t="e">
        <v>#N/A</v>
        <stp/>
        <stp>LREN3_B_0</stp>
        <stp>MAX</stp>
        <tr r="C14" s="1"/>
      </tp>
      <tp t="e">
        <v>#N/A</v>
        <stp/>
        <stp>BBDC4_B_0</stp>
        <stp>MAX</stp>
        <tr r="C10" s="1"/>
      </tp>
      <tp t="e">
        <v>#N/A</v>
        <stp/>
        <stp>BBDC4_B_0</stp>
        <stp>MIN</stp>
        <tr r="D10" s="1"/>
      </tp>
      <tp t="e">
        <v>#N/A</v>
        <stp/>
        <stp>WINZ25_F_0</stp>
        <stp>ULT</stp>
        <tr r="B18" s="1"/>
      </tp>
      <tp t="e">
        <v>#N/A</v>
        <stp/>
        <stp>RENT3_B_0</stp>
        <stp>AJU</stp>
        <tr r="G13" s="1"/>
      </tp>
      <tp t="e">
        <v>#N/A</v>
        <stp/>
        <stp>BBAS3_B_0</stp>
        <stp>MAX</stp>
        <tr r="C12" s="1"/>
      </tp>
      <tp t="e">
        <v>#N/A</v>
        <stp/>
        <stp>BBAS3_B_0</stp>
        <stp>MIN</stp>
        <tr r="D12" s="1"/>
      </tp>
      <tp t="e">
        <v>#N/A</v>
        <stp/>
        <stp>WSPFUT_F_0</stp>
        <stp>MAX</stp>
        <tr r="C16" s="1"/>
      </tp>
      <tp t="e">
        <v>#N/A</v>
        <stp/>
        <stp>WDOFUT_F_0</stp>
        <stp>MAX</stp>
        <tr r="C3" s="1"/>
      </tp>
      <tp t="e">
        <v>#N/A</v>
        <stp/>
        <stp>WINFUT_F_0</stp>
        <stp>MAX</stp>
        <tr r="C2" s="1"/>
      </tp>
      <tp t="e">
        <v>#N/A</v>
        <stp/>
        <stp>WDOFUT_F_0</stp>
        <stp>MIN</stp>
        <tr r="D3" s="1"/>
      </tp>
      <tp t="e">
        <v>#N/A</v>
        <stp/>
        <stp>WINFUT_F_0</stp>
        <stp>MIN</stp>
        <tr r="D2" s="1"/>
      </tp>
      <tp t="e">
        <v>#N/A</v>
        <stp/>
        <stp>WSPFUT_F_0</stp>
        <stp>MIN</stp>
        <tr r="D16" s="1"/>
      </tp>
      <tp t="e">
        <v>#N/A</v>
        <stp/>
        <stp>DIIFUT_F_0</stp>
        <stp>MAX</stp>
        <tr r="C4" s="1"/>
      </tp>
      <tp t="e">
        <v>#N/A</v>
        <stp/>
        <stp>VALE3_B_0</stp>
        <stp>AJU</stp>
        <tr r="G5" s="1"/>
      </tp>
      <tp t="e">
        <v>#N/A</v>
        <stp/>
        <stp>DIIFUT_F_0</stp>
        <stp>MIN</stp>
        <tr r="D4" s="1"/>
      </tp>
      <tp t="e">
        <v>#N/A</v>
        <stp/>
        <stp>DI1F29_F_0</stp>
        <stp>MAX</stp>
        <tr r="C17" s="1"/>
      </tp>
      <tp t="e">
        <v>#N/A</v>
        <stp/>
        <stp>WINZ25_F_0</stp>
        <stp>QTT</stp>
        <tr r="F18" s="1"/>
      </tp>
      <tp t="e">
        <v>#N/A</v>
        <stp/>
        <stp>DI1F29_F_0</stp>
        <stp>MIN</stp>
        <tr r="D17" s="1"/>
      </tp>
      <tp t="e">
        <v>#N/A</v>
        <stp/>
        <stp>B3SA3_B_0</stp>
        <stp>QTT</stp>
        <tr r="F11" s="1"/>
      </tp>
      <tp t="e">
        <v>#N/A</v>
        <stp/>
        <stp>PETR4_B_0</stp>
        <stp>VAR</stp>
        <tr r="E6" s="1"/>
      </tp>
      <tp t="e">
        <v>#N/A</v>
        <stp/>
        <stp>SBSP3_B_0</stp>
        <stp>QTT</stp>
        <tr r="F9" s="1"/>
      </tp>
      <tp t="e">
        <v>#N/A</v>
        <stp/>
        <stp>RENT3_B_0</stp>
        <stp>MAX</stp>
        <tr r="C13" s="1"/>
      </tp>
      <tp t="e">
        <v>#N/A</v>
        <stp/>
        <stp>RENT3_B_0</stp>
        <stp>MIN</stp>
        <tr r="D13" s="1"/>
      </tp>
      <tp t="e">
        <v>#N/A</v>
        <stp/>
        <stp>ITUB4_B_0</stp>
        <stp>VAR</stp>
        <tr r="E7" s="1"/>
      </tp>
      <tp t="e">
        <v>#N/A</v>
        <stp/>
        <stp>BBAS3_B_0</stp>
        <stp>AJU</stp>
        <tr r="G12" s="1"/>
      </tp>
      <tp t="e">
        <v>#N/A</v>
        <stp/>
        <stp>ITUB4_B_0</stp>
        <stp>ULT</stp>
        <tr r="B7" s="1"/>
      </tp>
      <tp t="e">
        <v>#N/A</v>
        <stp/>
        <stp>PETR4_B_0</stp>
        <stp>ULT</stp>
        <tr r="B6" s="1"/>
      </tp>
      <tp t="e">
        <v>#N/A</v>
        <stp/>
        <stp>WSPFUT_F_0</stp>
        <stp>AJU</stp>
        <tr r="G16" s="1"/>
      </tp>
      <tp t="e">
        <v>#N/A</v>
        <stp/>
        <stp>WINFUT_F_0</stp>
        <stp>AJU</stp>
        <tr r="G2" s="1"/>
      </tp>
      <tp t="e">
        <v>#N/A</v>
        <stp/>
        <stp>WDOFUT_F_0</stp>
        <stp>AJU</stp>
        <tr r="G3" s="1"/>
      </tp>
      <tp t="e">
        <v>#N/A</v>
        <stp/>
        <stp>VALE3_B_0</stp>
        <stp>MAX</stp>
        <tr r="C5" s="1"/>
      </tp>
      <tp t="e">
        <v>#N/A</v>
        <stp/>
        <stp>VALE3_B_0</stp>
        <stp>MIN</stp>
        <tr r="D5" s="1"/>
      </tp>
      <tp t="e">
        <v>#N/A</v>
        <stp/>
        <stp>DIIFUT_F_0</stp>
        <stp>AJU</stp>
        <tr r="G4" s="1"/>
      </tp>
      <tp t="e">
        <v>#N/A</v>
        <stp/>
        <stp>DI1F29_F_0</stp>
        <stp>AJU</stp>
        <tr r="G17" s="1"/>
      </tp>
      <tp t="e">
        <v>#N/A</v>
        <stp/>
        <stp>DI1F29_F_0</stp>
        <stp>1</stp>
        <tr r="K17" s="1"/>
      </tp>
      <tp t="e">
        <v>#N/A</v>
        <stp/>
        <stp>DI1F29_F_0</stp>
        <stp>6</stp>
        <tr r="L17" s="1"/>
      </tp>
      <tp t="e">
        <v>#N/A</v>
        <stp/>
        <stp>SBSP3_B_0</stp>
        <stp>ULT</stp>
        <tr r="B9" s="1"/>
      </tp>
      <tp t="e">
        <v>#N/A</v>
        <stp/>
        <stp>WEGE3_B_0</stp>
        <stp>AJU</stp>
        <tr r="G15" s="1"/>
      </tp>
      <tp t="e">
        <v>#N/A</v>
        <stp/>
        <stp>B3SA3_B_0</stp>
        <stp>ULT</stp>
        <tr r="B11" s="1"/>
      </tp>
      <tp t="e">
        <v>#N/A</v>
        <stp/>
        <stp>ITUB4_B_0</stp>
        <stp>QTT</stp>
        <tr r="F7" s="1"/>
      </tp>
      <tp t="e">
        <v>#N/A</v>
        <stp/>
        <stp>ELET3_B_0</stp>
        <stp>AJU</stp>
        <tr r="G8" s="1"/>
      </tp>
      <tp t="e">
        <v>#N/A</v>
        <stp/>
        <stp>LREN3_B_0</stp>
        <stp>AJU</stp>
        <tr r="G14" s="1"/>
      </tp>
      <tp t="e">
        <v>#N/A</v>
        <stp/>
        <stp>SBSP3_B_0</stp>
        <stp>VAR</stp>
        <tr r="E9" s="1"/>
      </tp>
      <tp t="e">
        <v>#N/A</v>
        <stp/>
        <stp>PETR4_B_0</stp>
        <stp>QTT</stp>
        <tr r="F6" s="1"/>
      </tp>
      <tp t="e">
        <v>#N/A</v>
        <stp/>
        <stp>B3SA3_B_0</stp>
        <stp>VAR</stp>
        <tr r="E11" s="1"/>
      </tp>
      <tp t="e">
        <v>#N/A</v>
        <stp/>
        <stp>BBDC4_B_0</stp>
        <stp>AJU</stp>
        <tr r="G10" s="1"/>
      </tp>
      <tp t="e">
        <v>#N/A</v>
        <stp/>
        <stp>VALE3_B_0</stp>
        <stp>VAR</stp>
        <tr r="E5" s="1"/>
      </tp>
      <tp t="e">
        <v>#N/A</v>
        <stp/>
        <stp>RENT3_B_0</stp>
        <stp>ULT</stp>
        <tr r="B13" s="1"/>
      </tp>
      <tp t="e">
        <v>#N/A</v>
        <stp/>
        <stp>RENT3_B_0</stp>
        <stp>VAR</stp>
        <tr r="E13" s="1"/>
      </tp>
      <tp t="e">
        <v>#N/A</v>
        <stp/>
        <stp>ITUB4_B_0</stp>
        <stp>MAX</stp>
        <tr r="C7" s="1"/>
      </tp>
      <tp t="e">
        <v>#N/A</v>
        <stp/>
        <stp>ITUB4_B_0</stp>
        <stp>MIN</stp>
        <tr r="D7" s="1"/>
      </tp>
      <tp t="e">
        <v>#N/A</v>
        <stp/>
        <stp>PETR4_B_0</stp>
        <stp>MAX</stp>
        <tr r="C6" s="1"/>
      </tp>
      <tp t="e">
        <v>#N/A</v>
        <stp/>
        <stp>PETR4_B_0</stp>
        <stp>MIN</stp>
        <tr r="D6" s="1"/>
      </tp>
      <tp t="e">
        <v>#N/A</v>
        <stp/>
        <stp>VALE3_B_0</stp>
        <stp>ULT</stp>
        <tr r="B5" s="1"/>
      </tp>
      <tp t="e">
        <v>#N/A</v>
        <stp/>
        <stp>SBSP3_B_0</stp>
        <stp>MAX</stp>
        <tr r="C9" s="1"/>
      </tp>
      <tp t="e">
        <v>#N/A</v>
        <stp/>
        <stp>SBSP3_B_0</stp>
        <stp>MIN</stp>
        <tr r="D9" s="1"/>
      </tp>
      <tp t="e">
        <v>#N/A</v>
        <stp/>
        <stp>B3SA3_B_0</stp>
        <stp>MAX</stp>
        <tr r="C11" s="1"/>
      </tp>
      <tp t="e">
        <v>#N/A</v>
        <stp/>
        <stp>B3SA3_B_0</stp>
        <stp>MIN</stp>
        <tr r="D11" s="1"/>
      </tp>
      <tp t="e">
        <v>#N/A</v>
        <stp/>
        <stp>RENT3_B_0</stp>
        <stp>QTT</stp>
        <tr r="F13" s="1"/>
      </tp>
      <tp t="e">
        <v>#N/A</v>
        <stp/>
        <stp>VALE3_B_0</stp>
        <stp>QTT</stp>
        <tr r="F5" s="1"/>
      </tp>
      <tp t="e">
        <v>#N/A</v>
        <stp/>
        <stp>WINZ25_F_0</stp>
        <stp>AJU</stp>
        <tr r="G18" s="1"/>
      </tp>
      <tp t="e">
        <v>#N/A</v>
        <stp/>
        <stp>SBSP3_B_0</stp>
        <stp>AJU</stp>
        <tr r="G9" s="1"/>
      </tp>
      <tp t="e">
        <v>#N/A</v>
        <stp/>
        <stp>BBDC4_B_0</stp>
        <stp>VAR</stp>
        <tr r="E10" s="1"/>
      </tp>
      <tp t="e">
        <v>#N/A</v>
        <stp/>
        <stp>B3SA3_B_0</stp>
        <stp>AJU</stp>
        <tr r="G11" s="1"/>
      </tp>
      <tp t="e">
        <v>#N/A</v>
        <stp/>
        <stp>WEGE3_B_0</stp>
        <stp>ULT</stp>
        <tr r="B15" s="1"/>
      </tp>
      <tp t="e">
        <v>#N/A</v>
        <stp/>
        <stp>ELET3_B_0</stp>
        <stp>VAR</stp>
        <tr r="E8" s="1"/>
      </tp>
      <tp t="e">
        <v>#N/A</v>
        <stp/>
        <stp>LREN3_B_0</stp>
        <stp>VAR</stp>
        <tr r="E14" s="1"/>
      </tp>
      <tp t="e">
        <v>#N/A</v>
        <stp/>
        <stp>ELET3_B_0</stp>
        <stp>ULT</stp>
        <tr r="B8" s="1"/>
      </tp>
      <tp t="e">
        <v>#N/A</v>
        <stp/>
        <stp>BBAS3_B_0</stp>
        <stp>QTT</stp>
        <tr r="F12" s="1"/>
      </tp>
      <tp t="e">
        <v>#N/A</v>
        <stp/>
        <stp>LREN3_B_0</stp>
        <stp>ULT</stp>
        <tr r="B14" s="1"/>
      </tp>
      <tp t="e">
        <v>#N/A</v>
        <stp/>
        <stp>DIIFUT_F_0</stp>
        <stp>QTT</stp>
        <tr r="F4" s="1"/>
      </tp>
      <tp t="e">
        <v>#N/A</v>
        <stp/>
        <stp>WSPFUT_F_0</stp>
        <stp>QTT</stp>
        <tr r="F16" s="1"/>
      </tp>
      <tp t="e">
        <v>#N/A</v>
        <stp/>
        <stp>WINFUT_F_0</stp>
        <stp>QTT</stp>
        <tr r="F2" s="1"/>
      </tp>
      <tp t="e">
        <v>#N/A</v>
        <stp/>
        <stp>WDOFUT_F_0</stp>
        <stp>QTT</stp>
        <tr r="F3" s="1"/>
      </tp>
      <tp t="e">
        <v>#N/A</v>
        <stp/>
        <stp>WEGE3_B_0</stp>
        <stp>VAR</stp>
        <tr r="E15" s="1"/>
      </tp>
      <tp t="e">
        <v>#N/A</v>
        <stp/>
        <stp>BBDC4_B_0</stp>
        <stp>ULT</stp>
        <tr r="B10" s="1"/>
      </tp>
      <tp t="e">
        <v>#N/A</v>
        <stp/>
        <stp>WINZ25_F_0</stp>
        <stp>MAX</stp>
        <tr r="C18" s="1"/>
      </tp>
      <tp t="e">
        <v>#N/A</v>
        <stp/>
        <stp>DI1F29_F_0</stp>
        <stp>QTT</stp>
        <tr r="F17" s="1"/>
      </tp>
      <tp t="e">
        <v>#N/A</v>
        <stp/>
        <stp>WINZ25_F_0</stp>
        <stp>MIN</stp>
        <tr r="D18" s="1"/>
      </tp>
      <tp t="e">
        <v>#N/A</v>
        <stp/>
        <stp>WSPFUT_F_0</stp>
        <stp>VAR</stp>
        <tr r="E16" s="1"/>
      </tp>
      <tp t="e">
        <v>#N/A</v>
        <stp/>
        <stp>WINFUT_F_0</stp>
        <stp>VAR</stp>
        <tr r="E2" s="1"/>
      </tp>
      <tp t="e">
        <v>#N/A</v>
        <stp/>
        <stp>WDOFUT_F_0</stp>
        <stp>VAR</stp>
        <tr r="E3" s="1"/>
      </tp>
      <tp t="e">
        <v>#N/A</v>
        <stp/>
        <stp>WEGE3_B_0</stp>
        <stp>QTT</stp>
        <tr r="F15" s="1"/>
      </tp>
      <tp t="e">
        <v>#N/A</v>
        <stp/>
        <stp>DIIFUT_F_0</stp>
        <stp>VAR</stp>
        <tr r="E4" s="1"/>
      </tp>
      <tp t="e">
        <v>#N/A</v>
        <stp/>
        <stp>DI1F29_F_0</stp>
        <stp>VAR</stp>
        <tr r="E17" s="1"/>
      </tp>
      <tp t="e">
        <v>#N/A</v>
        <stp/>
        <stp>BBAS3_B_0</stp>
        <stp>VAR</stp>
        <tr r="E12" s="1"/>
      </tp>
      <tp t="e">
        <v>#N/A</v>
        <stp/>
        <stp>BBAS3_B_0</stp>
        <stp>ULT</stp>
        <tr r="B12" s="1"/>
      </tp>
      <tp t="e">
        <v>#N/A</v>
        <stp/>
        <stp>LREN3_B_0</stp>
        <stp>QTT</stp>
        <tr r="F14" s="1"/>
      </tp>
      <tp t="e">
        <v>#N/A</v>
        <stp/>
        <stp>ELET3_B_0</stp>
        <stp>QTT</stp>
        <tr r="F8" s="1"/>
      </tp>
      <tp t="e">
        <v>#N/A</v>
        <stp/>
        <stp>ITUB4_B_0</stp>
        <stp>AJU</stp>
        <tr r="G7" s="1"/>
      </tp>
      <tp t="e">
        <v>#N/A</v>
        <stp/>
        <stp>BBDC4_B_0</stp>
        <stp>QTT</stp>
        <tr r="F10" s="1"/>
      </tp>
      <tp t="e">
        <v>#N/A</v>
        <stp/>
        <stp>WSPFUT_F_0</stp>
        <stp>ULT</stp>
        <tr r="B16" s="1"/>
      </tp>
      <tp t="e">
        <v>#N/A</v>
        <stp/>
        <stp>WINFUT_F_0</stp>
        <stp>ULT</stp>
        <tr r="B2" s="1"/>
      </tp>
      <tp t="e">
        <v>#N/A</v>
        <stp/>
        <stp>WDOFUT_F_0</stp>
        <stp>ULT</stp>
        <tr r="B3" s="1"/>
      </tp>
      <tp t="e">
        <v>#N/A</v>
        <stp/>
        <stp>PETR4_B_0</stp>
        <stp>AJU</stp>
        <tr r="G6" s="1"/>
      </tp>
      <tp t="e">
        <v>#N/A</v>
        <stp/>
        <stp>DIIFUT_F_0</stp>
        <stp>ULT</stp>
        <tr r="B4" s="1"/>
      </tp>
      <tp t="e">
        <v>#N/A</v>
        <stp/>
        <stp>DI1F29_F_0</stp>
        <stp>ULT</stp>
        <tr r="B17" s="1"/>
      </tp>
      <tp t="e">
        <v>#N/A</v>
        <stp/>
        <stp>WINFUT_F_0</stp>
        <stp>1</stp>
        <tr r="K2" s="1"/>
      </tp>
      <tp t="e">
        <v>#N/A</v>
        <stp/>
        <stp>WINFUT_F_0</stp>
        <stp>6</stp>
        <tr r="L2" s="1"/>
      </tp>
      <tp t="e">
        <v>#N/A</v>
        <stp/>
        <stp>DIIFUT_F_0</stp>
        <stp>1</stp>
        <tr r="K4" s="1"/>
      </tp>
      <tp t="e">
        <v>#N/A</v>
        <stp/>
        <stp>DIIFUT_F_0</stp>
        <stp>6</stp>
        <tr r="L4" s="1"/>
      </tp>
      <tp t="e">
        <v>#N/A</v>
        <stp/>
        <stp>WINZ25_F_0</stp>
        <stp>100</stp>
        <tr r="N18" s="1"/>
      </tp>
      <tp t="e">
        <v>#N/A</v>
        <stp/>
        <stp>WINZ25_F_0</stp>
        <stp>190</stp>
        <tr r="M18" s="1"/>
      </tp>
      <tp t="e">
        <v>#N/A</v>
        <stp/>
        <stp>B3SA3_B_0</stp>
        <stp>100</stp>
        <tr r="N11" s="1"/>
      </tp>
      <tp t="e">
        <v>#N/A</v>
        <stp/>
        <stp>B3SA3_B_0</stp>
        <stp>190</stp>
        <tr r="M11" s="1"/>
      </tp>
      <tp t="e">
        <v>#N/A</v>
        <stp/>
        <stp>SBSP3_B_0</stp>
        <stp>100</stp>
        <tr r="N9" s="1"/>
      </tp>
      <tp t="e">
        <v>#N/A</v>
        <stp/>
        <stp>SBSP3_B_0</stp>
        <stp>190</stp>
        <tr r="M9" s="1"/>
      </tp>
      <tp t="e">
        <v>#N/A</v>
        <stp/>
        <stp>WDOFUT_F_0</stp>
        <stp>1</stp>
        <tr r="K3" s="1"/>
      </tp>
      <tp t="e">
        <v>#N/A</v>
        <stp/>
        <stp>WDOFUT_F_0</stp>
        <stp>6</stp>
        <tr r="L3" s="1"/>
      </tp>
      <tp t="e">
        <v>#N/A</v>
        <stp/>
        <stp>ITUB4_B_0</stp>
        <stp>100</stp>
        <tr r="N7" s="1"/>
      </tp>
      <tp t="e">
        <v>#N/A</v>
        <stp/>
        <stp>ITUB4_B_0</stp>
        <stp>190</stp>
        <tr r="M7" s="1"/>
      </tp>
      <tp t="e">
        <v>#N/A</v>
        <stp/>
        <stp>PETR4_B_0</stp>
        <stp>100</stp>
        <tr r="N6" s="1"/>
      </tp>
      <tp t="e">
        <v>#N/A</v>
        <stp/>
        <stp>PETR4_B_0</stp>
        <stp>190</stp>
        <tr r="M6" s="1"/>
      </tp>
      <tp t="e">
        <v>#N/A</v>
        <stp/>
        <stp>RENT3_B_0</stp>
        <stp>100</stp>
        <tr r="N13" s="1"/>
      </tp>
      <tp t="e">
        <v>#N/A</v>
        <stp/>
        <stp>RENT3_B_0</stp>
        <stp>190</stp>
        <tr r="M13" s="1"/>
      </tp>
      <tp t="e">
        <v>#N/A</v>
        <stp/>
        <stp>VALE3_B_0</stp>
        <stp>100</stp>
        <tr r="N5" s="1"/>
      </tp>
      <tp t="e">
        <v>#N/A</v>
        <stp/>
        <stp>VALE3_B_0</stp>
        <stp>190</stp>
        <tr r="M5" s="1"/>
      </tp>
      <tp t="e">
        <v>#N/A</v>
        <stp/>
        <stp>BBAS3_B_0</stp>
        <stp>100</stp>
        <tr r="N12" s="1"/>
      </tp>
      <tp t="e">
        <v>#N/A</v>
        <stp/>
        <stp>BBAS3_B_0</stp>
        <stp>190</stp>
        <tr r="M12" s="1"/>
      </tp>
      <tp t="e">
        <v>#N/A</v>
        <stp/>
        <stp>DI1F29_F_0</stp>
        <stp>100</stp>
        <tr r="N17" s="1"/>
      </tp>
      <tp t="e">
        <v>#N/A</v>
        <stp/>
        <stp>DI1F29_F_0</stp>
        <stp>190</stp>
        <tr r="M17" s="1"/>
      </tp>
      <tp t="e">
        <v>#N/A</v>
        <stp/>
        <stp>DIIFUT_F_0</stp>
        <stp>100</stp>
        <tr r="N4" s="1"/>
      </tp>
      <tp t="e">
        <v>#N/A</v>
        <stp/>
        <stp>DIIFUT_F_0</stp>
        <stp>190</stp>
        <tr r="M4" s="1"/>
      </tp>
      <tp t="e">
        <v>#N/A</v>
        <stp/>
        <stp>WSPFUT_F_0</stp>
        <stp>100</stp>
        <tr r="N16" s="1"/>
      </tp>
      <tp t="e">
        <v>#N/A</v>
        <stp/>
        <stp>WINFUT_F_0</stp>
        <stp>100</stp>
        <tr r="N2" s="1"/>
      </tp>
      <tp t="e">
        <v>#N/A</v>
        <stp/>
        <stp>WDOFUT_F_0</stp>
        <stp>100</stp>
        <tr r="N3" s="1"/>
      </tp>
      <tp t="e">
        <v>#N/A</v>
        <stp/>
        <stp>WSPFUT_F_0</stp>
        <stp>190</stp>
        <tr r="M16" s="1"/>
      </tp>
      <tp t="e">
        <v>#N/A</v>
        <stp/>
        <stp>WINFUT_F_0</stp>
        <stp>190</stp>
        <tr r="M2" s="1"/>
      </tp>
      <tp t="e">
        <v>#N/A</v>
        <stp/>
        <stp>WDOFUT_F_0</stp>
        <stp>190</stp>
        <tr r="M3" s="1"/>
      </tp>
      <tp t="e">
        <v>#N/A</v>
        <stp/>
        <stp>WSPFUT_F_0</stp>
        <stp>1</stp>
        <tr r="K16" s="1"/>
      </tp>
      <tp t="e">
        <v>#N/A</v>
        <stp/>
        <stp>WSPFUT_F_0</stp>
        <stp>6</stp>
        <tr r="L16" s="1"/>
      </tp>
      <tp t="e">
        <v>#N/A</v>
        <stp/>
        <stp>WEGE3_B_0</stp>
        <stp>100</stp>
        <tr r="N15" s="1"/>
      </tp>
      <tp t="e">
        <v>#N/A</v>
        <stp/>
        <stp>WEGE3_B_0</stp>
        <stp>190</stp>
        <tr r="M15" s="1"/>
      </tp>
      <tp t="e">
        <v>#N/A</v>
        <stp/>
        <stp>LREN3_B_0</stp>
        <stp>190</stp>
        <tr r="M14" s="1"/>
      </tp>
      <tp t="e">
        <v>#N/A</v>
        <stp/>
        <stp>LREN3_B_0</stp>
        <stp>100</stp>
        <tr r="N14" s="1"/>
      </tp>
      <tp t="e">
        <v>#N/A</v>
        <stp/>
        <stp>ELET3_B_0</stp>
        <stp>100</stp>
        <tr r="N8" s="1"/>
      </tp>
      <tp t="e">
        <v>#N/A</v>
        <stp/>
        <stp>ELET3_B_0</stp>
        <stp>190</stp>
        <tr r="M8" s="1"/>
      </tp>
      <tp t="e">
        <v>#N/A</v>
        <stp/>
        <stp>BBDC4_B_0</stp>
        <stp>100</stp>
        <tr r="N10" s="1"/>
      </tp>
      <tp t="e">
        <v>#N/A</v>
        <stp/>
        <stp>BBDC4_B_0</stp>
        <stp>190</stp>
        <tr r="M10" s="1"/>
      </tp>
      <tp t="e">
        <v>#N/A</v>
        <stp/>
        <stp>LREN3_B_0</stp>
        <stp>67</stp>
        <tr r="P14" s="1"/>
      </tp>
      <tp t="e">
        <v>#N/A</v>
        <stp/>
        <stp>LREN3_B_0</stp>
        <stp>48</stp>
        <tr r="J14" s="1"/>
      </tp>
      <tp t="e">
        <v>#N/A</v>
        <stp/>
        <stp>LREN3_B_0</stp>
        <stp>31</stp>
        <tr r="I14" s="1"/>
      </tp>
      <tp t="e">
        <v>#N/A</v>
        <stp/>
        <stp>LREN3_B_0</stp>
        <stp>32</stp>
        <tr r="H14" s="1"/>
      </tp>
      <tp t="e">
        <v>#N/A</v>
        <stp/>
        <stp>LREN3_B_0</stp>
        <stp>17</stp>
        <tr r="O14" s="1"/>
      </tp>
      <tp t="e">
        <v>#N/A</v>
        <stp/>
        <stp>ITUB4_B_0</stp>
        <stp>67</stp>
        <tr r="P7" s="1"/>
      </tp>
      <tp t="e">
        <v>#N/A</v>
        <stp/>
        <stp>ITUB4_B_0</stp>
        <stp>48</stp>
        <tr r="J7" s="1"/>
      </tp>
      <tp t="e">
        <v>#N/A</v>
        <stp/>
        <stp>ITUB4_B_0</stp>
        <stp>31</stp>
        <tr r="I7" s="1"/>
      </tp>
      <tp t="e">
        <v>#N/A</v>
        <stp/>
        <stp>ITUB4_B_0</stp>
        <stp>32</stp>
        <tr r="H7" s="1"/>
      </tp>
      <tp t="e">
        <v>#N/A</v>
        <stp/>
        <stp>ITUB4_B_0</stp>
        <stp>17</stp>
        <tr r="O7" s="1"/>
      </tp>
      <tp t="e">
        <v>#N/A</v>
        <stp/>
        <stp>WSPFUT_F_0</stp>
        <stp>31</stp>
        <tr r="I16" s="1"/>
      </tp>
      <tp t="e">
        <v>#N/A</v>
        <stp/>
        <stp>WSPFUT_F_0</stp>
        <stp>32</stp>
        <tr r="H16" s="1"/>
      </tp>
      <tp t="e">
        <v>#N/A</v>
        <stp/>
        <stp>WSPFUT_F_0</stp>
        <stp>17</stp>
        <tr r="O16" s="1"/>
      </tp>
      <tp t="e">
        <v>#N/A</v>
        <stp/>
        <stp>WSPFUT_F_0</stp>
        <stp>67</stp>
        <tr r="P16" s="1"/>
      </tp>
      <tp t="e">
        <v>#N/A</v>
        <stp/>
        <stp>WSPFUT_F_0</stp>
        <stp>48</stp>
        <tr r="J16" s="1"/>
      </tp>
      <tp t="e">
        <v>#N/A</v>
        <stp/>
        <stp>SBSP3_B_0</stp>
        <stp>1</stp>
        <tr r="K9" s="1"/>
      </tp>
      <tp t="e">
        <v>#N/A</v>
        <stp/>
        <stp>SBSP3_B_0</stp>
        <stp>6</stp>
        <tr r="L9" s="1"/>
      </tp>
      <tp t="e">
        <v>#N/A</v>
        <stp/>
        <stp>RENT3_B_0</stp>
        <stp>6</stp>
        <tr r="L13" s="1"/>
      </tp>
      <tp t="e">
        <v>#N/A</v>
        <stp/>
        <stp>RENT3_B_0</stp>
        <stp>1</stp>
        <tr r="K13" s="1"/>
      </tp>
      <tp t="e">
        <v>#N/A</v>
        <stp/>
        <stp>PETR4_B_0</stp>
        <stp>6</stp>
        <tr r="L6" s="1"/>
      </tp>
      <tp t="e">
        <v>#N/A</v>
        <stp/>
        <stp>PETR4_B_0</stp>
        <stp>1</stp>
        <tr r="K6" s="1"/>
      </tp>
      <tp t="e">
        <v>#N/A</v>
        <stp/>
        <stp>WEGE3_B_0</stp>
        <stp>6</stp>
        <tr r="L15" s="1"/>
      </tp>
      <tp t="e">
        <v>#N/A</v>
        <stp/>
        <stp>WEGE3_B_0</stp>
        <stp>1</stp>
        <tr r="K15" s="1"/>
      </tp>
      <tp t="e">
        <v>#N/A</v>
        <stp/>
        <stp>VALE3_B_0</stp>
        <stp>6</stp>
        <tr r="L5" s="1"/>
      </tp>
      <tp t="e">
        <v>#N/A</v>
        <stp/>
        <stp>VALE3_B_0</stp>
        <stp>1</stp>
        <tr r="K5" s="1"/>
      </tp>
      <tp t="e">
        <v>#N/A</v>
        <stp/>
        <stp>VALE3_B_0</stp>
        <stp>67</stp>
        <tr r="P5" s="1"/>
      </tp>
      <tp t="e">
        <v>#N/A</v>
        <stp/>
        <stp>VALE3_B_0</stp>
        <stp>48</stp>
        <tr r="J5" s="1"/>
      </tp>
      <tp t="e">
        <v>#N/A</v>
        <stp/>
        <stp>VALE3_B_0</stp>
        <stp>32</stp>
        <tr r="H5" s="1"/>
      </tp>
      <tp t="e">
        <v>#N/A</v>
        <stp/>
        <stp>VALE3_B_0</stp>
        <stp>31</stp>
        <tr r="I5" s="1"/>
      </tp>
      <tp t="e">
        <v>#N/A</v>
        <stp/>
        <stp>VALE3_B_0</stp>
        <stp>17</stp>
        <tr r="O5" s="1"/>
      </tp>
      <tp t="e">
        <v>#N/A</v>
        <stp/>
        <stp>SBSP3_B_0</stp>
        <stp>17</stp>
        <tr r="O9" s="1"/>
      </tp>
      <tp t="e">
        <v>#N/A</v>
        <stp/>
        <stp>SBSP3_B_0</stp>
        <stp>32</stp>
        <tr r="H9" s="1"/>
      </tp>
      <tp t="e">
        <v>#N/A</v>
        <stp/>
        <stp>SBSP3_B_0</stp>
        <stp>31</stp>
        <tr r="I9" s="1"/>
      </tp>
      <tp t="e">
        <v>#N/A</v>
        <stp/>
        <stp>SBSP3_B_0</stp>
        <stp>48</stp>
        <tr r="J9" s="1"/>
      </tp>
      <tp t="e">
        <v>#N/A</v>
        <stp/>
        <stp>SBSP3_B_0</stp>
        <stp>67</stp>
        <tr r="P9" s="1"/>
      </tp>
      <tp t="e">
        <v>#N/A</v>
        <stp/>
        <stp>BBDC4_B_0</stp>
        <stp>67</stp>
        <tr r="P10" s="1"/>
      </tp>
      <tp t="e">
        <v>#N/A</v>
        <stp/>
        <stp>BBAS3_B_0</stp>
        <stp>31</stp>
        <tr r="I12" s="1"/>
      </tp>
      <tp t="e">
        <v>#N/A</v>
        <stp/>
        <stp>BBAS3_B_0</stp>
        <stp>32</stp>
        <tr r="H12" s="1"/>
      </tp>
      <tp t="e">
        <v>#N/A</v>
        <stp/>
        <stp>BBDC4_B_0</stp>
        <stp>48</stp>
        <tr r="J10" s="1"/>
      </tp>
      <tp t="e">
        <v>#N/A</v>
        <stp/>
        <stp>BBAS3_B_0</stp>
        <stp>17</stp>
        <tr r="O12" s="1"/>
      </tp>
      <tp t="e">
        <v>#N/A</v>
        <stp/>
        <stp>BBDC4_B_0</stp>
        <stp>31</stp>
        <tr r="I10" s="1"/>
      </tp>
      <tp t="e">
        <v>#N/A</v>
        <stp/>
        <stp>BBDC4_B_0</stp>
        <stp>32</stp>
        <tr r="H10" s="1"/>
      </tp>
      <tp t="e">
        <v>#N/A</v>
        <stp/>
        <stp>BBAS3_B_0</stp>
        <stp>67</stp>
        <tr r="P12" s="1"/>
      </tp>
      <tp t="e">
        <v>#N/A</v>
        <stp/>
        <stp>BBDC4_B_0</stp>
        <stp>17</stp>
        <tr r="O10" s="1"/>
      </tp>
      <tp t="e">
        <v>#N/A</v>
        <stp/>
        <stp>BBAS3_B_0</stp>
        <stp>48</stp>
        <tr r="J12" s="1"/>
      </tp>
      <tp t="e">
        <v>#N/A</v>
        <stp/>
        <stp>PETR4_B_0</stp>
        <stp>67</stp>
        <tr r="P6" s="1"/>
      </tp>
      <tp t="e">
        <v>#N/A</v>
        <stp/>
        <stp>PETR4_B_0</stp>
        <stp>48</stp>
        <tr r="J6" s="1"/>
      </tp>
      <tp t="e">
        <v>#N/A</v>
        <stp/>
        <stp>PETR4_B_0</stp>
        <stp>31</stp>
        <tr r="I6" s="1"/>
      </tp>
      <tp t="e">
        <v>#N/A</v>
        <stp/>
        <stp>PETR4_B_0</stp>
        <stp>32</stp>
        <tr r="H6" s="1"/>
      </tp>
      <tp t="e">
        <v>#N/A</v>
        <stp/>
        <stp>PETR4_B_0</stp>
        <stp>17</stp>
        <tr r="O6" s="1"/>
      </tp>
      <tp t="e">
        <v>#N/A</v>
        <stp/>
        <stp>RENT3_B_0</stp>
        <stp>48</stp>
        <tr r="J13" s="1"/>
      </tp>
      <tp t="e">
        <v>#N/A</v>
        <stp/>
        <stp>RENT3_B_0</stp>
        <stp>67</stp>
        <tr r="P13" s="1"/>
      </tp>
      <tp t="e">
        <v>#N/A</v>
        <stp/>
        <stp>RENT3_B_0</stp>
        <stp>17</stp>
        <tr r="O13" s="1"/>
      </tp>
      <tp t="e">
        <v>#N/A</v>
        <stp/>
        <stp>RENT3_B_0</stp>
        <stp>32</stp>
        <tr r="H13" s="1"/>
      </tp>
      <tp t="e">
        <v>#N/A</v>
        <stp/>
        <stp>RENT3_B_0</stp>
        <stp>31</stp>
        <tr r="I13" s="1"/>
      </tp>
      <tp t="e">
        <v>#N/A</v>
        <stp/>
        <stp>WEGE3_B_0</stp>
        <stp>48</stp>
        <tr r="J15" s="1"/>
      </tp>
      <tp t="e">
        <v>#N/A</v>
        <stp/>
        <stp>WEGE3_B_0</stp>
        <stp>67</stp>
        <tr r="P15" s="1"/>
      </tp>
      <tp t="e">
        <v>#N/A</v>
        <stp/>
        <stp>WEGE3_B_0</stp>
        <stp>17</stp>
        <tr r="O15" s="1"/>
      </tp>
      <tp t="e">
        <v>#N/A</v>
        <stp/>
        <stp>WEGE3_B_0</stp>
        <stp>32</stp>
        <tr r="H15" s="1"/>
      </tp>
      <tp t="e">
        <v>#N/A</v>
        <stp/>
        <stp>WEGE3_B_0</stp>
        <stp>31</stp>
        <tr r="I15" s="1"/>
      </tp>
      <tp t="e">
        <v>#N/A</v>
        <stp/>
        <stp>ITUB4_B_0</stp>
        <stp>6</stp>
        <tr r="L7" s="1"/>
      </tp>
      <tp t="e">
        <v>#N/A</v>
        <stp/>
        <stp>ITUB4_B_0</stp>
        <stp>1</stp>
        <tr r="K7" s="1"/>
      </tp>
      <tp t="e">
        <v>#N/A</v>
        <stp/>
        <stp>LREN3_B_0</stp>
        <stp>6</stp>
        <tr r="L14" s="1"/>
      </tp>
      <tp t="e">
        <v>#N/A</v>
        <stp/>
        <stp>LREN3_B_0</stp>
        <stp>1</stp>
        <tr r="K14" s="1"/>
      </tp>
      <tp t="e">
        <v>#N/A</v>
        <stp/>
        <stp>B3SA3_B_0</stp>
        <stp>1</stp>
        <tr r="K11" s="1"/>
      </tp>
      <tp t="e">
        <v>#N/A</v>
        <stp/>
        <stp>B3SA3_B_0</stp>
        <stp>6</stp>
        <tr r="L11" s="1"/>
      </tp>
      <tp t="e">
        <v>#N/A</v>
        <stp/>
        <stp>BBAS3_B_0</stp>
        <stp>1</stp>
        <tr r="K12" s="1"/>
      </tp>
      <tp t="e">
        <v>#N/A</v>
        <stp/>
        <stp>BBAS3_B_0</stp>
        <stp>6</stp>
        <tr r="L12" s="1"/>
      </tp>
      <tp t="e">
        <v>#N/A</v>
        <stp/>
        <stp>WDOFUT_F_0</stp>
        <stp>31</stp>
        <tr r="I3" s="1"/>
      </tp>
      <tp t="e">
        <v>#N/A</v>
        <stp/>
        <stp>WDOFUT_F_0</stp>
        <stp>32</stp>
        <tr r="H3" s="1"/>
      </tp>
      <tp t="e">
        <v>#N/A</v>
        <stp/>
        <stp>WDOFUT_F_0</stp>
        <stp>17</stp>
        <tr r="O3" s="1"/>
      </tp>
      <tp t="e">
        <v>#N/A</v>
        <stp/>
        <stp>WDOFUT_F_0</stp>
        <stp>67</stp>
        <tr r="P3" s="1"/>
      </tp>
      <tp t="e">
        <v>#N/A</v>
        <stp/>
        <stp>WDOFUT_F_0</stp>
        <stp>48</stp>
        <tr r="J3" s="1"/>
      </tp>
      <tp t="e">
        <v>#N/A</v>
        <stp/>
        <stp>WINZ25_F_0</stp>
        <stp>67</stp>
        <tr r="P18" s="1"/>
      </tp>
      <tp t="e">
        <v>#N/A</v>
        <stp/>
        <stp>WINZ25_F_0</stp>
        <stp>48</stp>
        <tr r="J18" s="1"/>
      </tp>
      <tp t="e">
        <v>#N/A</v>
        <stp/>
        <stp>WINZ25_F_0</stp>
        <stp>32</stp>
        <tr r="H18" s="1"/>
      </tp>
      <tp t="e">
        <v>#N/A</v>
        <stp/>
        <stp>WINZ25_F_0</stp>
        <stp>31</stp>
        <tr r="I18" s="1"/>
      </tp>
      <tp t="e">
        <v>#N/A</v>
        <stp/>
        <stp>WINZ25_F_0</stp>
        <stp>17</stp>
        <tr r="O18" s="1"/>
      </tp>
      <tp t="e">
        <v>#N/A</v>
        <stp/>
        <stp>WINFUT_F_0</stp>
        <stp>31</stp>
        <tr r="I2" s="1"/>
      </tp>
      <tp t="e">
        <v>#N/A</v>
        <stp/>
        <stp>WINFUT_F_0</stp>
        <stp>32</stp>
        <tr r="H2" s="1"/>
      </tp>
      <tp t="e">
        <v>#N/A</v>
        <stp/>
        <stp>WINFUT_F_0</stp>
        <stp>17</stp>
        <tr r="O2" s="1"/>
      </tp>
      <tp t="e">
        <v>#N/A</v>
        <stp/>
        <stp>WINFUT_F_0</stp>
        <stp>67</stp>
        <tr r="P2" s="1"/>
      </tp>
      <tp t="e">
        <v>#N/A</v>
        <stp/>
        <stp>WINFUT_F_0</stp>
        <stp>48</stp>
        <tr r="J2" s="1"/>
      </tp>
      <tp t="e">
        <v>#N/A</v>
        <stp/>
        <stp>DIIFUT_F_0</stp>
        <stp>32</stp>
        <tr r="H4" s="1"/>
      </tp>
      <tp t="e">
        <v>#N/A</v>
        <stp/>
        <stp>DIIFUT_F_0</stp>
        <stp>31</stp>
        <tr r="I4" s="1"/>
      </tp>
      <tp t="e">
        <v>#N/A</v>
        <stp/>
        <stp>DIIFUT_F_0</stp>
        <stp>17</stp>
        <tr r="O4" s="1"/>
      </tp>
      <tp t="e">
        <v>#N/A</v>
        <stp/>
        <stp>DIIFUT_F_0</stp>
        <stp>67</stp>
        <tr r="P4" s="1"/>
      </tp>
      <tp t="e">
        <v>#N/A</v>
        <stp/>
        <stp>DIIFUT_F_0</stp>
        <stp>48</stp>
        <tr r="J4" s="1"/>
      </tp>
      <tp t="e">
        <v>#N/A</v>
        <stp/>
        <stp>ELET3_B_0</stp>
        <stp>67</stp>
        <tr r="P8" s="1"/>
      </tp>
      <tp t="e">
        <v>#N/A</v>
        <stp/>
        <stp>ELET3_B_0</stp>
        <stp>48</stp>
        <tr r="J8" s="1"/>
      </tp>
      <tp t="e">
        <v>#N/A</v>
        <stp/>
        <stp>ELET3_B_0</stp>
        <stp>32</stp>
        <tr r="H8" s="1"/>
      </tp>
      <tp t="e">
        <v>#N/A</v>
        <stp/>
        <stp>ELET3_B_0</stp>
        <stp>31</stp>
        <tr r="I8" s="1"/>
      </tp>
      <tp t="e">
        <v>#N/A</v>
        <stp/>
        <stp>ELET3_B_0</stp>
        <stp>17</stp>
        <tr r="O8" s="1"/>
      </tp>
      <tp t="e">
        <v>#N/A</v>
        <stp/>
        <stp>BBDC4_B_0</stp>
        <stp>6</stp>
        <tr r="L10" s="1"/>
      </tp>
      <tp t="e">
        <v>#N/A</v>
        <stp/>
        <stp>BBDC4_B_0</stp>
        <stp>1</stp>
        <tr r="K10" s="1"/>
      </tp>
      <tp t="e">
        <v>#N/A</v>
        <stp/>
        <stp>ELET3_B_0</stp>
        <stp>6</stp>
        <tr r="L8" s="1"/>
      </tp>
      <tp t="e">
        <v>#N/A</v>
        <stp/>
        <stp>ELET3_B_0</stp>
        <stp>1</stp>
        <tr r="K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41B9-FBD6-4CA4-8F01-DD6776C6F036}">
  <dimension ref="A1:R18"/>
  <sheetViews>
    <sheetView tabSelected="1" workbookViewId="0">
      <selection activeCell="G20" sqref="G20"/>
    </sheetView>
  </sheetViews>
  <sheetFormatPr defaultRowHeight="15" x14ac:dyDescent="0.25"/>
  <cols>
    <col min="1" max="1" width="10.85546875" bestFit="1" customWidth="1"/>
  </cols>
  <sheetData>
    <row r="1" spans="1:1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8" x14ac:dyDescent="0.25">
      <c r="A2" t="s">
        <v>17</v>
      </c>
      <c r="B2" t="e">
        <f>RTD("rtdtrading.rtdserver",, "WINFUT_F_0", "ULT")</f>
        <v>#N/A</v>
      </c>
      <c r="C2" t="e">
        <f>RTD("rtdtrading.rtdserver",, "WINFUT_F_0", "MAX")</f>
        <v>#N/A</v>
      </c>
      <c r="D2" t="e">
        <f>RTD("rtdtrading.rtdserver",, "WINFUT_F_0", "MIN")</f>
        <v>#N/A</v>
      </c>
      <c r="E2" t="e">
        <f>RTD("rtdtrading.rtdserver",, "WINFUT_F_0", "VAR")</f>
        <v>#N/A</v>
      </c>
      <c r="F2" t="e">
        <f>RTD("rtdtrading.rtdserver",, "WINFUT_F_0", "QTT")</f>
        <v>#N/A</v>
      </c>
      <c r="G2" t="e">
        <f>RTD("rtdtrading.rtdserver",, "WINFUT_F_0", "AJU")</f>
        <v>#N/A</v>
      </c>
      <c r="H2" t="e">
        <f>RTD("rtdtrading.rtdserver",, "WINFUT_F_0", "32")</f>
        <v>#N/A</v>
      </c>
      <c r="I2" t="e">
        <f>RTD("rtdtrading.rtdserver",, "WINFUT_F_0", "31")</f>
        <v>#N/A</v>
      </c>
      <c r="J2" t="e">
        <f>RTD("rtdtrading.rtdserver",, "WINFUT_F_0", "48")</f>
        <v>#N/A</v>
      </c>
      <c r="K2" t="e">
        <f>RTD("rtdtrading.rtdserver",, "WINFUT_F_0", "1")</f>
        <v>#N/A</v>
      </c>
      <c r="L2" t="e">
        <f>RTD("rtdtrading.rtdserver",, "WINFUT_F_0", "6")</f>
        <v>#N/A</v>
      </c>
      <c r="M2" t="e">
        <f>RTD("rtdtrading.rtdserver",, "WINFUT_F_0", "190")</f>
        <v>#N/A</v>
      </c>
      <c r="N2" t="e">
        <f>RTD("rtdtrading.rtdserver",, "WINFUT_F_0", "100")</f>
        <v>#N/A</v>
      </c>
      <c r="O2" t="e">
        <f>RTD("rtdtrading.rtdserver",, "WINFUT_F_0", "17")</f>
        <v>#N/A</v>
      </c>
      <c r="P2" t="e">
        <f>RTD("rtdtrading.rtdserver",, "WINFUT_F_0", "67")</f>
        <v>#N/A</v>
      </c>
      <c r="Q2">
        <v>11.2</v>
      </c>
      <c r="R2" t="s">
        <v>0</v>
      </c>
    </row>
    <row r="3" spans="1:18" x14ac:dyDescent="0.25">
      <c r="A3" t="s">
        <v>18</v>
      </c>
      <c r="B3" t="e">
        <f>RTD("rtdtrading.rtdserver",, "WDOFUT_F_0", "ULT")</f>
        <v>#N/A</v>
      </c>
      <c r="C3" t="e">
        <f>RTD("rtdtrading.rtdserver",, "WDOFUT_F_0", "MAX")</f>
        <v>#N/A</v>
      </c>
      <c r="D3" t="e">
        <f>RTD("rtdtrading.rtdserver",, "WDOFUT_F_0", "MIN")</f>
        <v>#N/A</v>
      </c>
      <c r="E3" t="e">
        <f>RTD("rtdtrading.rtdserver",, "WDOFUT_F_0", "VAR")</f>
        <v>#N/A</v>
      </c>
      <c r="F3" t="e">
        <f>RTD("rtdtrading.rtdserver",, "WDOFUT_F_0", "QTT")</f>
        <v>#N/A</v>
      </c>
      <c r="G3" t="e">
        <f>RTD("rtdtrading.rtdserver",, "WDOFUT_F_0", "AJU")</f>
        <v>#N/A</v>
      </c>
      <c r="H3" t="e">
        <f>RTD("rtdtrading.rtdserver",, "WDOFUT_F_0", "32")</f>
        <v>#N/A</v>
      </c>
      <c r="I3" t="e">
        <f>RTD("rtdtrading.rtdserver",, "WDOFUT_F_0", "31")</f>
        <v>#N/A</v>
      </c>
      <c r="J3" t="e">
        <f>RTD("rtdtrading.rtdserver",, "WDOFUT_F_0", "48")</f>
        <v>#N/A</v>
      </c>
      <c r="K3" t="e">
        <f>RTD("rtdtrading.rtdserver",, "WDOFUT_F_0", "1")</f>
        <v>#N/A</v>
      </c>
      <c r="L3" t="e">
        <f>RTD("rtdtrading.rtdserver",, "WDOFUT_F_0", "6")</f>
        <v>#N/A</v>
      </c>
      <c r="M3" t="e">
        <f>RTD("rtdtrading.rtdserver",, "WDOFUT_F_0", "190")</f>
        <v>#N/A</v>
      </c>
      <c r="N3" t="e">
        <f>RTD("rtdtrading.rtdserver",, "WDOFUT_F_0", "100")</f>
        <v>#N/A</v>
      </c>
      <c r="O3" t="e">
        <f>RTD("rtdtrading.rtdserver",, "WDOFUT_F_0", "17")</f>
        <v>#N/A</v>
      </c>
      <c r="P3" t="e">
        <f>RTD("rtdtrading.rtdserver",, "WDOFUT_F_0", "67")</f>
        <v>#N/A</v>
      </c>
    </row>
    <row r="4" spans="1:18" x14ac:dyDescent="0.25">
      <c r="A4" t="s">
        <v>19</v>
      </c>
      <c r="B4" t="e">
        <f>RTD("rtdtrading.rtdserver",, "DIIFUT_F_0", "ULT")</f>
        <v>#N/A</v>
      </c>
      <c r="C4" t="e">
        <f>RTD("rtdtrading.rtdserver",, "DIIFUT_F_0", "MAX")</f>
        <v>#N/A</v>
      </c>
      <c r="D4" t="e">
        <f>RTD("rtdtrading.rtdserver",, "DIIFUT_F_0", "MIN")</f>
        <v>#N/A</v>
      </c>
      <c r="E4" t="e">
        <f>RTD("rtdtrading.rtdserver",, "DIIFUT_F_0", "VAR")</f>
        <v>#N/A</v>
      </c>
      <c r="F4" t="e">
        <f>RTD("rtdtrading.rtdserver",, "DIIFUT_F_0", "QTT")</f>
        <v>#N/A</v>
      </c>
      <c r="G4" t="e">
        <f>RTD("rtdtrading.rtdserver",, "DIIFUT_F_0", "AJU")</f>
        <v>#N/A</v>
      </c>
      <c r="H4" t="e">
        <f>RTD("rtdtrading.rtdserver",, "DIIFUT_F_0", "32")</f>
        <v>#N/A</v>
      </c>
      <c r="I4" t="e">
        <f>RTD("rtdtrading.rtdserver",, "DIIFUT_F_0", "31")</f>
        <v>#N/A</v>
      </c>
      <c r="J4" t="e">
        <f>RTD("rtdtrading.rtdserver",, "DIIFUT_F_0", "48")</f>
        <v>#N/A</v>
      </c>
      <c r="K4" t="e">
        <f>RTD("rtdtrading.rtdserver",, "DIIFUT_F_0", "1")</f>
        <v>#N/A</v>
      </c>
      <c r="L4" t="e">
        <f>RTD("rtdtrading.rtdserver",, "DIIFUT_F_0", "6")</f>
        <v>#N/A</v>
      </c>
      <c r="M4" t="e">
        <f>RTD("rtdtrading.rtdserver",, "DIIFUT_F_0", "190")</f>
        <v>#N/A</v>
      </c>
      <c r="N4" t="e">
        <f>RTD("rtdtrading.rtdserver",, "DIIFUT_F_0", "100")</f>
        <v>#N/A</v>
      </c>
      <c r="O4" t="e">
        <f>RTD("rtdtrading.rtdserver",, "DIIFUT_F_0", "17")</f>
        <v>#N/A</v>
      </c>
      <c r="P4" t="e">
        <f>RTD("rtdtrading.rtdserver",, "DIIFUT_F_0", "67")</f>
        <v>#N/A</v>
      </c>
    </row>
    <row r="5" spans="1:18" x14ac:dyDescent="0.25">
      <c r="A5" t="s">
        <v>20</v>
      </c>
      <c r="B5" t="e">
        <f>RTD("rtdtrading.rtdserver",, "VALE3_B_0", "ULT")</f>
        <v>#N/A</v>
      </c>
      <c r="C5" t="e">
        <f>RTD("rtdtrading.rtdserver",, "VALE3_B_0", "MAX")</f>
        <v>#N/A</v>
      </c>
      <c r="D5" t="e">
        <f>RTD("rtdtrading.rtdserver",, "VALE3_B_0", "MIN")</f>
        <v>#N/A</v>
      </c>
      <c r="E5" t="e">
        <f>RTD("rtdtrading.rtdserver",, "VALE3_B_0", "VAR")</f>
        <v>#N/A</v>
      </c>
      <c r="F5" t="e">
        <f>RTD("rtdtrading.rtdserver",, "VALE3_B_0", "QTT")</f>
        <v>#N/A</v>
      </c>
      <c r="G5" t="e">
        <f>RTD("rtdtrading.rtdserver",, "VALE3_B_0", "AJU")</f>
        <v>#N/A</v>
      </c>
      <c r="H5" t="e">
        <f>RTD("rtdtrading.rtdserver",, "VALE3_B_0", "32")</f>
        <v>#N/A</v>
      </c>
      <c r="I5" t="e">
        <f>RTD("rtdtrading.rtdserver",, "VALE3_B_0", "31")</f>
        <v>#N/A</v>
      </c>
      <c r="J5" t="e">
        <f>RTD("rtdtrading.rtdserver",, "VALE3_B_0", "48")</f>
        <v>#N/A</v>
      </c>
      <c r="K5" t="e">
        <f>RTD("rtdtrading.rtdserver",, "VALE3_B_0", "1")</f>
        <v>#N/A</v>
      </c>
      <c r="L5" t="e">
        <f>RTD("rtdtrading.rtdserver",, "VALE3_B_0", "6")</f>
        <v>#N/A</v>
      </c>
      <c r="M5" t="e">
        <f>RTD("rtdtrading.rtdserver",, "VALE3_B_0", "190")</f>
        <v>#N/A</v>
      </c>
      <c r="N5" t="e">
        <f>RTD("rtdtrading.rtdserver",, "VALE3_B_0", "100")</f>
        <v>#N/A</v>
      </c>
      <c r="O5" t="e">
        <f>RTD("rtdtrading.rtdserver",, "VALE3_B_0", "17")</f>
        <v>#N/A</v>
      </c>
      <c r="P5" t="e">
        <f>RTD("rtdtrading.rtdserver",, "VALE3_B_0", "67")</f>
        <v>#N/A</v>
      </c>
    </row>
    <row r="6" spans="1:18" x14ac:dyDescent="0.25">
      <c r="A6" t="s">
        <v>21</v>
      </c>
      <c r="B6" t="e">
        <f>RTD("rtdtrading.rtdserver",, "PETR4_B_0", "ULT")</f>
        <v>#N/A</v>
      </c>
      <c r="C6" t="e">
        <f>RTD("rtdtrading.rtdserver",, "PETR4_B_0", "MAX")</f>
        <v>#N/A</v>
      </c>
      <c r="D6" t="e">
        <f>RTD("rtdtrading.rtdserver",, "PETR4_B_0", "MIN")</f>
        <v>#N/A</v>
      </c>
      <c r="E6" t="e">
        <f>RTD("rtdtrading.rtdserver",, "PETR4_B_0", "VAR")</f>
        <v>#N/A</v>
      </c>
      <c r="F6" t="e">
        <f>RTD("rtdtrading.rtdserver",, "PETR4_B_0", "QTT")</f>
        <v>#N/A</v>
      </c>
      <c r="G6" t="e">
        <f>RTD("rtdtrading.rtdserver",, "PETR4_B_0", "AJU")</f>
        <v>#N/A</v>
      </c>
      <c r="H6" t="e">
        <f>RTD("rtdtrading.rtdserver",, "PETR4_B_0", "32")</f>
        <v>#N/A</v>
      </c>
      <c r="I6" t="e">
        <f>RTD("rtdtrading.rtdserver",, "PETR4_B_0", "31")</f>
        <v>#N/A</v>
      </c>
      <c r="J6" t="e">
        <f>RTD("rtdtrading.rtdserver",, "PETR4_B_0", "48")</f>
        <v>#N/A</v>
      </c>
      <c r="K6" t="e">
        <f>RTD("rtdtrading.rtdserver",, "PETR4_B_0", "1")</f>
        <v>#N/A</v>
      </c>
      <c r="L6" t="e">
        <f>RTD("rtdtrading.rtdserver",, "PETR4_B_0", "6")</f>
        <v>#N/A</v>
      </c>
      <c r="M6" t="e">
        <f>RTD("rtdtrading.rtdserver",, "PETR4_B_0", "190")</f>
        <v>#N/A</v>
      </c>
      <c r="N6" t="e">
        <f>RTD("rtdtrading.rtdserver",, "PETR4_B_0", "100")</f>
        <v>#N/A</v>
      </c>
      <c r="O6" t="e">
        <f>RTD("rtdtrading.rtdserver",, "PETR4_B_0", "17")</f>
        <v>#N/A</v>
      </c>
      <c r="P6" t="e">
        <f>RTD("rtdtrading.rtdserver",, "PETR4_B_0", "67")</f>
        <v>#N/A</v>
      </c>
    </row>
    <row r="7" spans="1:18" x14ac:dyDescent="0.25">
      <c r="A7" t="s">
        <v>22</v>
      </c>
      <c r="B7" t="e">
        <f>RTD("rtdtrading.rtdserver",, "ITUB4_B_0", "ULT")</f>
        <v>#N/A</v>
      </c>
      <c r="C7" t="e">
        <f>RTD("rtdtrading.rtdserver",, "ITUB4_B_0", "MAX")</f>
        <v>#N/A</v>
      </c>
      <c r="D7" t="e">
        <f>RTD("rtdtrading.rtdserver",, "ITUB4_B_0", "MIN")</f>
        <v>#N/A</v>
      </c>
      <c r="E7" t="e">
        <f>RTD("rtdtrading.rtdserver",, "ITUB4_B_0", "VAR")</f>
        <v>#N/A</v>
      </c>
      <c r="F7" t="e">
        <f>RTD("rtdtrading.rtdserver",, "ITUB4_B_0", "QTT")</f>
        <v>#N/A</v>
      </c>
      <c r="G7" t="e">
        <f>RTD("rtdtrading.rtdserver",, "ITUB4_B_0", "AJU")</f>
        <v>#N/A</v>
      </c>
      <c r="H7" t="e">
        <f>RTD("rtdtrading.rtdserver",, "ITUB4_B_0", "32")</f>
        <v>#N/A</v>
      </c>
      <c r="I7" t="e">
        <f>RTD("rtdtrading.rtdserver",, "ITUB4_B_0", "31")</f>
        <v>#N/A</v>
      </c>
      <c r="J7" t="e">
        <f>RTD("rtdtrading.rtdserver",, "ITUB4_B_0", "48")</f>
        <v>#N/A</v>
      </c>
      <c r="K7" t="e">
        <f>RTD("rtdtrading.rtdserver",, "ITUB4_B_0", "1")</f>
        <v>#N/A</v>
      </c>
      <c r="L7" t="e">
        <f>RTD("rtdtrading.rtdserver",, "ITUB4_B_0", "6")</f>
        <v>#N/A</v>
      </c>
      <c r="M7" t="e">
        <f>RTD("rtdtrading.rtdserver",, "ITUB4_B_0", "190")</f>
        <v>#N/A</v>
      </c>
      <c r="N7" t="e">
        <f>RTD("rtdtrading.rtdserver",, "ITUB4_B_0", "100")</f>
        <v>#N/A</v>
      </c>
      <c r="O7" t="e">
        <f>RTD("rtdtrading.rtdserver",, "ITUB4_B_0", "17")</f>
        <v>#N/A</v>
      </c>
      <c r="P7" t="e">
        <f>RTD("rtdtrading.rtdserver",, "ITUB4_B_0", "67")</f>
        <v>#N/A</v>
      </c>
    </row>
    <row r="8" spans="1:18" x14ac:dyDescent="0.25">
      <c r="A8" t="s">
        <v>23</v>
      </c>
      <c r="B8" t="e">
        <f>RTD("rtdtrading.rtdserver",, "ELET3_B_0", "ULT")</f>
        <v>#N/A</v>
      </c>
      <c r="C8" t="e">
        <f>RTD("rtdtrading.rtdserver",, "ELET3_B_0", "MAX")</f>
        <v>#N/A</v>
      </c>
      <c r="D8" t="e">
        <f>RTD("rtdtrading.rtdserver",, "ELET3_B_0", "MIN")</f>
        <v>#N/A</v>
      </c>
      <c r="E8" t="e">
        <f>RTD("rtdtrading.rtdserver",, "ELET3_B_0", "VAR")</f>
        <v>#N/A</v>
      </c>
      <c r="F8" t="e">
        <f>RTD("rtdtrading.rtdserver",, "ELET3_B_0", "QTT")</f>
        <v>#N/A</v>
      </c>
      <c r="G8" t="e">
        <f>RTD("rtdtrading.rtdserver",, "ELET3_B_0", "AJU")</f>
        <v>#N/A</v>
      </c>
      <c r="H8" t="e">
        <f>RTD("rtdtrading.rtdserver",, "ELET3_B_0", "32")</f>
        <v>#N/A</v>
      </c>
      <c r="I8" t="e">
        <f>RTD("rtdtrading.rtdserver",, "ELET3_B_0", "31")</f>
        <v>#N/A</v>
      </c>
      <c r="J8" t="e">
        <f>RTD("rtdtrading.rtdserver",, "ELET3_B_0", "48")</f>
        <v>#N/A</v>
      </c>
      <c r="K8" t="e">
        <f>RTD("rtdtrading.rtdserver",, "ELET3_B_0", "1")</f>
        <v>#N/A</v>
      </c>
      <c r="L8" t="e">
        <f>RTD("rtdtrading.rtdserver",, "ELET3_B_0", "6")</f>
        <v>#N/A</v>
      </c>
      <c r="M8" t="e">
        <f>RTD("rtdtrading.rtdserver",, "ELET3_B_0", "190")</f>
        <v>#N/A</v>
      </c>
      <c r="N8" t="e">
        <f>RTD("rtdtrading.rtdserver",, "ELET3_B_0", "100")</f>
        <v>#N/A</v>
      </c>
      <c r="O8" t="e">
        <f>RTD("rtdtrading.rtdserver",, "ELET3_B_0", "17")</f>
        <v>#N/A</v>
      </c>
      <c r="P8" t="e">
        <f>RTD("rtdtrading.rtdserver",, "ELET3_B_0", "67")</f>
        <v>#N/A</v>
      </c>
    </row>
    <row r="9" spans="1:18" x14ac:dyDescent="0.25">
      <c r="A9" t="s">
        <v>24</v>
      </c>
      <c r="B9" t="e">
        <f>RTD("rtdtrading.rtdserver",, "SBSP3_B_0", "ULT")</f>
        <v>#N/A</v>
      </c>
      <c r="C9" t="e">
        <f>RTD("rtdtrading.rtdserver",, "SBSP3_B_0", "MAX")</f>
        <v>#N/A</v>
      </c>
      <c r="D9" t="e">
        <f>RTD("rtdtrading.rtdserver",, "SBSP3_B_0", "MIN")</f>
        <v>#N/A</v>
      </c>
      <c r="E9" t="e">
        <f>RTD("rtdtrading.rtdserver",, "SBSP3_B_0", "VAR")</f>
        <v>#N/A</v>
      </c>
      <c r="F9" t="e">
        <f>RTD("rtdtrading.rtdserver",, "SBSP3_B_0", "QTT")</f>
        <v>#N/A</v>
      </c>
      <c r="G9" t="e">
        <f>RTD("rtdtrading.rtdserver",, "SBSP3_B_0", "AJU")</f>
        <v>#N/A</v>
      </c>
      <c r="H9" t="e">
        <f>RTD("rtdtrading.rtdserver",, "SBSP3_B_0", "32")</f>
        <v>#N/A</v>
      </c>
      <c r="I9" t="e">
        <f>RTD("rtdtrading.rtdserver",, "SBSP3_B_0", "31")</f>
        <v>#N/A</v>
      </c>
      <c r="J9" t="e">
        <f>RTD("rtdtrading.rtdserver",, "SBSP3_B_0", "48")</f>
        <v>#N/A</v>
      </c>
      <c r="K9" t="e">
        <f>RTD("rtdtrading.rtdserver",, "SBSP3_B_0", "1")</f>
        <v>#N/A</v>
      </c>
      <c r="L9" t="e">
        <f>RTD("rtdtrading.rtdserver",, "SBSP3_B_0", "6")</f>
        <v>#N/A</v>
      </c>
      <c r="M9" t="e">
        <f>RTD("rtdtrading.rtdserver",, "SBSP3_B_0", "190")</f>
        <v>#N/A</v>
      </c>
      <c r="N9" t="e">
        <f>RTD("rtdtrading.rtdserver",, "SBSP3_B_0", "100")</f>
        <v>#N/A</v>
      </c>
      <c r="O9" t="e">
        <f>RTD("rtdtrading.rtdserver",, "SBSP3_B_0", "17")</f>
        <v>#N/A</v>
      </c>
      <c r="P9" t="e">
        <f>RTD("rtdtrading.rtdserver",, "SBSP3_B_0", "67")</f>
        <v>#N/A</v>
      </c>
    </row>
    <row r="10" spans="1:18" x14ac:dyDescent="0.25">
      <c r="A10" t="s">
        <v>25</v>
      </c>
      <c r="B10" t="e">
        <f>RTD("rtdtrading.rtdserver",, "BBDC4_B_0", "ULT")</f>
        <v>#N/A</v>
      </c>
      <c r="C10" t="e">
        <f>RTD("rtdtrading.rtdserver",, "BBDC4_B_0", "MAX")</f>
        <v>#N/A</v>
      </c>
      <c r="D10" t="e">
        <f>RTD("rtdtrading.rtdserver",, "BBDC4_B_0", "MIN")</f>
        <v>#N/A</v>
      </c>
      <c r="E10" t="e">
        <f>RTD("rtdtrading.rtdserver",, "BBDC4_B_0", "VAR")</f>
        <v>#N/A</v>
      </c>
      <c r="F10" t="e">
        <f>RTD("rtdtrading.rtdserver",, "BBDC4_B_0", "QTT")</f>
        <v>#N/A</v>
      </c>
      <c r="G10" t="e">
        <f>RTD("rtdtrading.rtdserver",, "BBDC4_B_0", "AJU")</f>
        <v>#N/A</v>
      </c>
      <c r="H10" t="e">
        <f>RTD("rtdtrading.rtdserver",, "BBDC4_B_0", "32")</f>
        <v>#N/A</v>
      </c>
      <c r="I10" t="e">
        <f>RTD("rtdtrading.rtdserver",, "BBDC4_B_0", "31")</f>
        <v>#N/A</v>
      </c>
      <c r="J10" t="e">
        <f>RTD("rtdtrading.rtdserver",, "BBDC4_B_0", "48")</f>
        <v>#N/A</v>
      </c>
      <c r="K10" t="e">
        <f>RTD("rtdtrading.rtdserver",, "BBDC4_B_0", "1")</f>
        <v>#N/A</v>
      </c>
      <c r="L10" t="e">
        <f>RTD("rtdtrading.rtdserver",, "BBDC4_B_0", "6")</f>
        <v>#N/A</v>
      </c>
      <c r="M10" t="e">
        <f>RTD("rtdtrading.rtdserver",, "BBDC4_B_0", "190")</f>
        <v>#N/A</v>
      </c>
      <c r="N10" t="e">
        <f>RTD("rtdtrading.rtdserver",, "BBDC4_B_0", "100")</f>
        <v>#N/A</v>
      </c>
      <c r="O10" t="e">
        <f>RTD("rtdtrading.rtdserver",, "BBDC4_B_0", "17")</f>
        <v>#N/A</v>
      </c>
      <c r="P10" t="e">
        <f>RTD("rtdtrading.rtdserver",, "BBDC4_B_0", "67")</f>
        <v>#N/A</v>
      </c>
    </row>
    <row r="11" spans="1:18" x14ac:dyDescent="0.25">
      <c r="A11" t="s">
        <v>26</v>
      </c>
      <c r="B11" t="e">
        <f>RTD("rtdtrading.rtdserver",, "B3SA3_B_0", "ULT")</f>
        <v>#N/A</v>
      </c>
      <c r="C11" t="e">
        <f>RTD("rtdtrading.rtdserver",, "B3SA3_B_0", "MAX")</f>
        <v>#N/A</v>
      </c>
      <c r="D11" t="e">
        <f>RTD("rtdtrading.rtdserver",, "B3SA3_B_0", "MIN")</f>
        <v>#N/A</v>
      </c>
      <c r="E11" t="e">
        <f>RTD("rtdtrading.rtdserver",, "B3SA3_B_0", "VAR")</f>
        <v>#N/A</v>
      </c>
      <c r="F11" t="e">
        <f>RTD("rtdtrading.rtdserver",, "B3SA3_B_0", "QTT")</f>
        <v>#N/A</v>
      </c>
      <c r="G11" t="e">
        <f>RTD("rtdtrading.rtdserver",, "B3SA3_B_0", "AJU")</f>
        <v>#N/A</v>
      </c>
      <c r="H11" t="e">
        <f>RTD("rtdtrading.rtdserver",, "B3SA3_B_0", "32")</f>
        <v>#N/A</v>
      </c>
      <c r="I11" t="e">
        <f>RTD("rtdtrading.rtdserver",, "B3SA3_B_0", "31")</f>
        <v>#N/A</v>
      </c>
      <c r="J11" t="e">
        <f>RTD("rtdtrading.rtdserver",, "B3SA3_B_0", "48")</f>
        <v>#N/A</v>
      </c>
      <c r="K11" t="e">
        <f>RTD("rtdtrading.rtdserver",, "B3SA3_B_0", "1")</f>
        <v>#N/A</v>
      </c>
      <c r="L11" t="e">
        <f>RTD("rtdtrading.rtdserver",, "B3SA3_B_0", "6")</f>
        <v>#N/A</v>
      </c>
      <c r="M11" t="e">
        <f>RTD("rtdtrading.rtdserver",, "B3SA3_B_0", "190")</f>
        <v>#N/A</v>
      </c>
      <c r="N11" t="e">
        <f>RTD("rtdtrading.rtdserver",, "B3SA3_B_0", "100")</f>
        <v>#N/A</v>
      </c>
      <c r="O11" t="e">
        <f>RTD("rtdtrading.rtdserver",, "B3SA3_B_0", "17")</f>
        <v>#N/A</v>
      </c>
      <c r="P11" t="e">
        <f>RTD("rtdtrading.rtdserver",, "B3SA3_B_0", "67")</f>
        <v>#N/A</v>
      </c>
    </row>
    <row r="12" spans="1:18" x14ac:dyDescent="0.25">
      <c r="A12" t="s">
        <v>27</v>
      </c>
      <c r="B12" t="e">
        <f>RTD("rtdtrading.rtdserver",, "BBAS3_B_0", "ULT")</f>
        <v>#N/A</v>
      </c>
      <c r="C12" t="e">
        <f>RTD("rtdtrading.rtdserver",, "BBAS3_B_0", "MAX")</f>
        <v>#N/A</v>
      </c>
      <c r="D12" t="e">
        <f>RTD("rtdtrading.rtdserver",, "BBAS3_B_0", "MIN")</f>
        <v>#N/A</v>
      </c>
      <c r="E12" t="e">
        <f>RTD("rtdtrading.rtdserver",, "BBAS3_B_0", "VAR")</f>
        <v>#N/A</v>
      </c>
      <c r="F12" t="e">
        <f>RTD("rtdtrading.rtdserver",, "BBAS3_B_0", "QTT")</f>
        <v>#N/A</v>
      </c>
      <c r="G12" t="e">
        <f>RTD("rtdtrading.rtdserver",, "BBAS3_B_0", "AJU")</f>
        <v>#N/A</v>
      </c>
      <c r="H12" t="e">
        <f>RTD("rtdtrading.rtdserver",, "BBAS3_B_0", "32")</f>
        <v>#N/A</v>
      </c>
      <c r="I12" t="e">
        <f>RTD("rtdtrading.rtdserver",, "BBAS3_B_0", "31")</f>
        <v>#N/A</v>
      </c>
      <c r="J12" t="e">
        <f>RTD("rtdtrading.rtdserver",, "BBAS3_B_0", "48")</f>
        <v>#N/A</v>
      </c>
      <c r="K12" t="e">
        <f>RTD("rtdtrading.rtdserver",, "BBAS3_B_0", "1")</f>
        <v>#N/A</v>
      </c>
      <c r="L12" t="e">
        <f>RTD("rtdtrading.rtdserver",, "BBAS3_B_0", "6")</f>
        <v>#N/A</v>
      </c>
      <c r="M12" t="e">
        <f>RTD("rtdtrading.rtdserver",, "BBAS3_B_0", "190")</f>
        <v>#N/A</v>
      </c>
      <c r="N12" t="e">
        <f>RTD("rtdtrading.rtdserver",, "BBAS3_B_0", "100")</f>
        <v>#N/A</v>
      </c>
      <c r="O12" t="e">
        <f>RTD("rtdtrading.rtdserver",, "BBAS3_B_0", "17")</f>
        <v>#N/A</v>
      </c>
      <c r="P12" t="e">
        <f>RTD("rtdtrading.rtdserver",, "BBAS3_B_0", "67")</f>
        <v>#N/A</v>
      </c>
    </row>
    <row r="13" spans="1:18" x14ac:dyDescent="0.25">
      <c r="A13" t="s">
        <v>28</v>
      </c>
      <c r="B13" t="e">
        <f>RTD("rtdtrading.rtdserver",, "RENT3_B_0", "ULT")</f>
        <v>#N/A</v>
      </c>
      <c r="C13" t="e">
        <f>RTD("rtdtrading.rtdserver",, "RENT3_B_0", "MAX")</f>
        <v>#N/A</v>
      </c>
      <c r="D13" t="e">
        <f>RTD("rtdtrading.rtdserver",, "RENT3_B_0", "MIN")</f>
        <v>#N/A</v>
      </c>
      <c r="E13" t="e">
        <f>RTD("rtdtrading.rtdserver",, "RENT3_B_0", "VAR")</f>
        <v>#N/A</v>
      </c>
      <c r="F13" t="e">
        <f>RTD("rtdtrading.rtdserver",, "RENT3_B_0", "QTT")</f>
        <v>#N/A</v>
      </c>
      <c r="G13" t="e">
        <f>RTD("rtdtrading.rtdserver",, "RENT3_B_0", "AJU")</f>
        <v>#N/A</v>
      </c>
      <c r="H13" t="e">
        <f>RTD("rtdtrading.rtdserver",, "RENT3_B_0", "32")</f>
        <v>#N/A</v>
      </c>
      <c r="I13" t="e">
        <f>RTD("rtdtrading.rtdserver",, "RENT3_B_0", "31")</f>
        <v>#N/A</v>
      </c>
      <c r="J13" t="e">
        <f>RTD("rtdtrading.rtdserver",, "RENT3_B_0", "48")</f>
        <v>#N/A</v>
      </c>
      <c r="K13" t="e">
        <f>RTD("rtdtrading.rtdserver",, "RENT3_B_0", "1")</f>
        <v>#N/A</v>
      </c>
      <c r="L13" t="e">
        <f>RTD("rtdtrading.rtdserver",, "RENT3_B_0", "6")</f>
        <v>#N/A</v>
      </c>
      <c r="M13" t="e">
        <f>RTD("rtdtrading.rtdserver",, "RENT3_B_0", "190")</f>
        <v>#N/A</v>
      </c>
      <c r="N13" t="e">
        <f>RTD("rtdtrading.rtdserver",, "RENT3_B_0", "100")</f>
        <v>#N/A</v>
      </c>
      <c r="O13" t="e">
        <f>RTD("rtdtrading.rtdserver",, "RENT3_B_0", "17")</f>
        <v>#N/A</v>
      </c>
      <c r="P13" t="e">
        <f>RTD("rtdtrading.rtdserver",, "RENT3_B_0", "67")</f>
        <v>#N/A</v>
      </c>
    </row>
    <row r="14" spans="1:18" x14ac:dyDescent="0.25">
      <c r="A14" t="s">
        <v>29</v>
      </c>
      <c r="B14" t="e">
        <f>RTD("rtdtrading.rtdserver",, "LREN3_B_0", "ULT")</f>
        <v>#N/A</v>
      </c>
      <c r="C14" t="e">
        <f>RTD("rtdtrading.rtdserver",, "LREN3_B_0", "MAX")</f>
        <v>#N/A</v>
      </c>
      <c r="D14" t="e">
        <f>RTD("rtdtrading.rtdserver",, "LREN3_B_0", "MIN")</f>
        <v>#N/A</v>
      </c>
      <c r="E14" t="e">
        <f>RTD("rtdtrading.rtdserver",, "LREN3_B_0", "VAR")</f>
        <v>#N/A</v>
      </c>
      <c r="F14" t="e">
        <f>RTD("rtdtrading.rtdserver",, "LREN3_B_0", "QTT")</f>
        <v>#N/A</v>
      </c>
      <c r="G14" t="e">
        <f>RTD("rtdtrading.rtdserver",, "LREN3_B_0", "AJU")</f>
        <v>#N/A</v>
      </c>
      <c r="H14" t="e">
        <f>RTD("rtdtrading.rtdserver",, "LREN3_B_0", "32")</f>
        <v>#N/A</v>
      </c>
      <c r="I14" t="e">
        <f>RTD("rtdtrading.rtdserver",, "LREN3_B_0", "31")</f>
        <v>#N/A</v>
      </c>
      <c r="J14" t="e">
        <f>RTD("rtdtrading.rtdserver",, "LREN3_B_0", "48")</f>
        <v>#N/A</v>
      </c>
      <c r="K14" t="e">
        <f>RTD("rtdtrading.rtdserver",, "LREN3_B_0", "1")</f>
        <v>#N/A</v>
      </c>
      <c r="L14" t="e">
        <f>RTD("rtdtrading.rtdserver",, "LREN3_B_0", "6")</f>
        <v>#N/A</v>
      </c>
      <c r="M14" t="e">
        <f>RTD("rtdtrading.rtdserver",, "LREN3_B_0", "190")</f>
        <v>#N/A</v>
      </c>
      <c r="N14" t="e">
        <f>RTD("rtdtrading.rtdserver",, "LREN3_B_0", "100")</f>
        <v>#N/A</v>
      </c>
      <c r="O14" t="e">
        <f>RTD("rtdtrading.rtdserver",, "LREN3_B_0", "17")</f>
        <v>#N/A</v>
      </c>
      <c r="P14" t="e">
        <f>RTD("rtdtrading.rtdserver",, "LREN3_B_0", "67")</f>
        <v>#N/A</v>
      </c>
    </row>
    <row r="15" spans="1:18" x14ac:dyDescent="0.25">
      <c r="A15" t="s">
        <v>30</v>
      </c>
      <c r="B15" t="e">
        <f>RTD("rtdtrading.rtdserver",, "WEGE3_B_0", "ULT")</f>
        <v>#N/A</v>
      </c>
      <c r="C15" t="e">
        <f>RTD("rtdtrading.rtdserver",, "WEGE3_B_0", "MAX")</f>
        <v>#N/A</v>
      </c>
      <c r="D15" t="e">
        <f>RTD("rtdtrading.rtdserver",, "WEGE3_B_0", "MIN")</f>
        <v>#N/A</v>
      </c>
      <c r="E15" t="e">
        <f>RTD("rtdtrading.rtdserver",, "WEGE3_B_0", "VAR")</f>
        <v>#N/A</v>
      </c>
      <c r="F15" t="e">
        <f>RTD("rtdtrading.rtdserver",, "WEGE3_B_0", "QTT")</f>
        <v>#N/A</v>
      </c>
      <c r="G15" t="e">
        <f>RTD("rtdtrading.rtdserver",, "WEGE3_B_0", "AJU")</f>
        <v>#N/A</v>
      </c>
      <c r="H15" t="e">
        <f>RTD("rtdtrading.rtdserver",, "WEGE3_B_0", "32")</f>
        <v>#N/A</v>
      </c>
      <c r="I15" t="e">
        <f>RTD("rtdtrading.rtdserver",, "WEGE3_B_0", "31")</f>
        <v>#N/A</v>
      </c>
      <c r="J15" t="e">
        <f>RTD("rtdtrading.rtdserver",, "WEGE3_B_0", "48")</f>
        <v>#N/A</v>
      </c>
      <c r="K15" t="e">
        <f>RTD("rtdtrading.rtdserver",, "WEGE3_B_0", "1")</f>
        <v>#N/A</v>
      </c>
      <c r="L15" t="e">
        <f>RTD("rtdtrading.rtdserver",, "WEGE3_B_0", "6")</f>
        <v>#N/A</v>
      </c>
      <c r="M15" t="e">
        <f>RTD("rtdtrading.rtdserver",, "WEGE3_B_0", "190")</f>
        <v>#N/A</v>
      </c>
      <c r="N15" t="e">
        <f>RTD("rtdtrading.rtdserver",, "WEGE3_B_0", "100")</f>
        <v>#N/A</v>
      </c>
      <c r="O15" t="e">
        <f>RTD("rtdtrading.rtdserver",, "WEGE3_B_0", "17")</f>
        <v>#N/A</v>
      </c>
      <c r="P15" t="e">
        <f>RTD("rtdtrading.rtdserver",, "WEGE3_B_0", "67")</f>
        <v>#N/A</v>
      </c>
    </row>
    <row r="16" spans="1:18" x14ac:dyDescent="0.25">
      <c r="A16" t="s">
        <v>31</v>
      </c>
      <c r="B16" t="e">
        <f>RTD("rtdtrading.rtdserver",, "WSPFUT_F_0", "ULT")</f>
        <v>#N/A</v>
      </c>
      <c r="C16" t="e">
        <f>RTD("rtdtrading.rtdserver",, "WSPFUT_F_0", "MAX")</f>
        <v>#N/A</v>
      </c>
      <c r="D16" t="e">
        <f>RTD("rtdtrading.rtdserver",, "WSPFUT_F_0", "MIN")</f>
        <v>#N/A</v>
      </c>
      <c r="E16" t="e">
        <f>RTD("rtdtrading.rtdserver",, "WSPFUT_F_0", "VAR")</f>
        <v>#N/A</v>
      </c>
      <c r="F16" t="e">
        <f>RTD("rtdtrading.rtdserver",, "WSPFUT_F_0", "QTT")</f>
        <v>#N/A</v>
      </c>
      <c r="G16" t="e">
        <f>RTD("rtdtrading.rtdserver",, "WSPFUT_F_0", "AJU")</f>
        <v>#N/A</v>
      </c>
      <c r="H16" t="e">
        <f>RTD("rtdtrading.rtdserver",, "WSPFUT_F_0", "32")</f>
        <v>#N/A</v>
      </c>
      <c r="I16" t="e">
        <f>RTD("rtdtrading.rtdserver",, "WSPFUT_F_0", "31")</f>
        <v>#N/A</v>
      </c>
      <c r="J16" t="e">
        <f>RTD("rtdtrading.rtdserver",, "WSPFUT_F_0", "48")</f>
        <v>#N/A</v>
      </c>
      <c r="K16" t="e">
        <f>RTD("rtdtrading.rtdserver",, "WSPFUT_F_0", "1")</f>
        <v>#N/A</v>
      </c>
      <c r="L16" t="e">
        <f>RTD("rtdtrading.rtdserver",, "WSPFUT_F_0", "6")</f>
        <v>#N/A</v>
      </c>
      <c r="M16" t="e">
        <f>RTD("rtdtrading.rtdserver",, "WSPFUT_F_0", "190")</f>
        <v>#N/A</v>
      </c>
      <c r="N16" t="e">
        <f>RTD("rtdtrading.rtdserver",, "WSPFUT_F_0", "100")</f>
        <v>#N/A</v>
      </c>
      <c r="O16" t="e">
        <f>RTD("rtdtrading.rtdserver",, "WSPFUT_F_0", "17")</f>
        <v>#N/A</v>
      </c>
      <c r="P16" t="e">
        <f>RTD("rtdtrading.rtdserver",, "WSPFUT_F_0", "67")</f>
        <v>#N/A</v>
      </c>
    </row>
    <row r="17" spans="1:16" x14ac:dyDescent="0.25">
      <c r="A17" t="s">
        <v>32</v>
      </c>
      <c r="B17" t="e">
        <f>RTD("rtdtrading.rtdserver",, "DI1F29_F_0", "ULT")</f>
        <v>#N/A</v>
      </c>
      <c r="C17" t="e">
        <f>RTD("rtdtrading.rtdserver",, "DI1F29_F_0", "MAX")</f>
        <v>#N/A</v>
      </c>
      <c r="D17" t="e">
        <f>RTD("rtdtrading.rtdserver",, "DI1F29_F_0", "MIN")</f>
        <v>#N/A</v>
      </c>
      <c r="E17" t="e">
        <f>RTD("rtdtrading.rtdserver",, "DI1F29_F_0", "VAR")</f>
        <v>#N/A</v>
      </c>
      <c r="F17" t="e">
        <f>RTD("rtdtrading.rtdserver",, "DI1F29_F_0", "QTT")</f>
        <v>#N/A</v>
      </c>
      <c r="G17" t="e">
        <f>RTD("rtdtrading.rtdserver",, "DI1F29_F_0", "AJU")</f>
        <v>#N/A</v>
      </c>
      <c r="H17" t="e">
        <f>RTD("rtdtrading.rtdserver",, "DI1F29_F_0", "32")</f>
        <v>#N/A</v>
      </c>
      <c r="I17" t="e">
        <f>RTD("rtdtrading.rtdserver",, "DI1F29_F_0", "31")</f>
        <v>#N/A</v>
      </c>
      <c r="J17" t="e">
        <f>RTD("rtdtrading.rtdserver",, "DI1F29_F_0", "48")</f>
        <v>#N/A</v>
      </c>
      <c r="K17" t="e">
        <f>RTD("rtdtrading.rtdserver",, "DI1F29_F_0", "1")</f>
        <v>#N/A</v>
      </c>
      <c r="L17" t="e">
        <f>RTD("rtdtrading.rtdserver",, "DI1F29_F_0", "6")</f>
        <v>#N/A</v>
      </c>
      <c r="M17" t="e">
        <f>RTD("rtdtrading.rtdserver",, "DI1F29_F_0", "190")</f>
        <v>#N/A</v>
      </c>
      <c r="N17" t="e">
        <f>RTD("rtdtrading.rtdserver",, "DI1F29_F_0", "100")</f>
        <v>#N/A</v>
      </c>
      <c r="O17" t="e">
        <f>RTD("rtdtrading.rtdserver",, "DI1F29_F_0", "17")</f>
        <v>#N/A</v>
      </c>
      <c r="P17" t="e">
        <f>RTD("rtdtrading.rtdserver",, "DI1F29_F_0", "67")</f>
        <v>#N/A</v>
      </c>
    </row>
    <row r="18" spans="1:16" x14ac:dyDescent="0.25">
      <c r="A18" t="s">
        <v>33</v>
      </c>
      <c r="B18" t="e">
        <f>RTD("rtdtrading.rtdserver",, "WINZ25_F_0", "ULT")</f>
        <v>#N/A</v>
      </c>
      <c r="C18" t="e">
        <f>RTD("rtdtrading.rtdserver",, "WINZ25_F_0", "MAX")</f>
        <v>#N/A</v>
      </c>
      <c r="D18" t="e">
        <f>RTD("rtdtrading.rtdserver",, "WINZ25_F_0", "MIN")</f>
        <v>#N/A</v>
      </c>
      <c r="E18" t="e">
        <f>RTD("rtdtrading.rtdserver",, "WINZ25_F_0", "VAR")</f>
        <v>#N/A</v>
      </c>
      <c r="F18" t="e">
        <f>RTD("rtdtrading.rtdserver",, "WINZ25_F_0", "QTT")</f>
        <v>#N/A</v>
      </c>
      <c r="G18" t="e">
        <f>RTD("rtdtrading.rtdserver",, "WINZ25_F_0", "AJU")</f>
        <v>#N/A</v>
      </c>
      <c r="H18" t="e">
        <f>RTD("rtdtrading.rtdserver",, "WINZ25_F_0", "32")</f>
        <v>#N/A</v>
      </c>
      <c r="I18" t="e">
        <f>RTD("rtdtrading.rtdserver",, "WINZ25_F_0", "31")</f>
        <v>#N/A</v>
      </c>
      <c r="J18" t="e">
        <f>RTD("rtdtrading.rtdserver",, "WINZ25_F_0", "48")</f>
        <v>#N/A</v>
      </c>
      <c r="K18" t="e">
        <f>RTD("rtdtrading.rtdserver",, "WINZ25_F_0", "1")</f>
        <v>#N/A</v>
      </c>
      <c r="L18" t="e">
        <f>RTD("rtdtrading.rtdserver",, "WINZ25_F_0", "6")</f>
        <v>#N/A</v>
      </c>
      <c r="M18" t="e">
        <f>RTD("rtdtrading.rtdserver",, "WINZ25_F_0", "190")</f>
        <v>#N/A</v>
      </c>
      <c r="N18" t="e">
        <f>RTD("rtdtrading.rtdserver",, "WINZ25_F_0", "100")</f>
        <v>#N/A</v>
      </c>
      <c r="O18" t="e">
        <f>RTD("rtdtrading.rtdserver",, "WINZ25_F_0", "17")</f>
        <v>#N/A</v>
      </c>
      <c r="P18" t="e">
        <f>RTD("rtdtrading.rtdserver",, "WINZ25_F_0", "67")</f>
        <v>#N/A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da Silva Santana</dc:creator>
  <cp:lastModifiedBy>Diogo da Silva Santana</cp:lastModifiedBy>
  <dcterms:created xsi:type="dcterms:W3CDTF">2025-12-07T00:05:24Z</dcterms:created>
  <dcterms:modified xsi:type="dcterms:W3CDTF">2025-12-07T00:16:55Z</dcterms:modified>
</cp:coreProperties>
</file>